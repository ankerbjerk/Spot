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Assembly BOM" sheetId="1" state="visible" r:id="rId1"/>
    <sheet name="General BOM" sheetId="2" state="visible" r:id="rId2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0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mbria"/>
      <charset val="1"/>
      <family val="0"/>
      <b val="1"/>
      <sz val="14"/>
    </font>
    <font>
      <name val="Cambria"/>
      <charset val="1"/>
      <family val="0"/>
      <b val="1"/>
      <sz val="11"/>
    </font>
    <font>
      <name val="Calibri"/>
      <charset val="1"/>
      <family val="2"/>
      <color theme="10"/>
      <sz val="12"/>
    </font>
    <font>
      <b val="1"/>
      <sz val="14"/>
    </font>
    <font>
      <b val="1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8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  <xf numFmtId="0" fontId="6" fillId="0" borderId="0" applyAlignment="1">
      <alignment horizontal="general" vertical="bottom"/>
    </xf>
    <xf numFmtId="0" fontId="9" fillId="0" borderId="0"/>
  </cellStyleXfs>
  <cellXfs count="17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4" fontId="0" fillId="0" borderId="0" applyAlignment="1" pivotButton="0" quotePrefix="0" xfId="0">
      <alignment horizontal="general" vertical="bottom"/>
    </xf>
    <xf numFmtId="0" fontId="6" fillId="0" borderId="0" applyAlignment="1" pivotButton="0" quotePrefix="0" xfId="20">
      <alignment horizontal="general" vertical="bottom"/>
    </xf>
    <xf numFmtId="4" fontId="5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4" fontId="0" fillId="0" borderId="0" pivotButton="0" quotePrefix="0" xfId="0"/>
    <xf numFmtId="0" fontId="9" fillId="0" borderId="0" pivotButton="0" quotePrefix="0" xfId="7"/>
    <xf numFmtId="4" fontId="8" fillId="0" borderId="0" pivotButton="0" quotePrefix="0" xfId="0"/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4" fontId="0" fillId="0" borderId="0" applyAlignment="1" pivotButton="0" quotePrefix="0" xfId="0">
      <alignment horizontal="general" vertical="bottom"/>
    </xf>
    <xf numFmtId="4" fontId="5" fillId="0" borderId="0" applyAlignment="1" pivotButton="0" quotePrefix="0" xfId="0">
      <alignment horizontal="general" vertical="bottom"/>
    </xf>
  </cellXfs>
  <cellStyles count="8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*unknown*" xfId="6" builtinId="8"/>
    <cellStyle name="Hyperlink" xfId="7" builtinId="8" hidden="0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GeneralBOM" displayName="GeneralBOM" ref="A3:E14" headerRowCount="1" totalsRowCount="0" totalsRowShown="0">
  <autoFilter ref="A3:E14"/>
  <tableColumns count="5">
    <tableColumn id="1" name="Item"/>
    <tableColumn id="2" name="Qty"/>
    <tableColumn id="3" name="Unit Cost"/>
    <tableColumn id="4" name="Line Total"/>
    <tableColumn id="5" name="Notes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www.digikey.com/en/products/result?keywords=2156-PTVS7V5Z1USK315-954-ND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style="6" min="1" max="1"/>
    <col width="18" customWidth="1" style="6" min="2" max="2"/>
    <col width="18" customWidth="1" style="6" min="3" max="3"/>
    <col width="18" customWidth="1" style="6" min="4" max="4"/>
    <col width="18" customWidth="1" style="6" min="5" max="5"/>
    <col width="18" customWidth="1" style="6" min="6" max="6"/>
    <col width="18" customWidth="1" style="6" min="7" max="7"/>
    <col width="18" customWidth="1" style="6" min="8" max="8"/>
    <col width="18" customWidth="1" style="6" min="9" max="9"/>
    <col width="18" customWidth="1" style="6" min="10" max="10"/>
    <col width="18" customWidth="1" style="6" min="11" max="11"/>
    <col width="18" customWidth="1" style="6" min="12" max="12"/>
    <col width="18" customWidth="1" style="6" min="13" max="13"/>
    <col width="18" customWidth="1" style="6" min="14" max="14"/>
    <col width="18" customWidth="1" style="6" min="15" max="15"/>
  </cols>
  <sheetData>
    <row r="1">
      <c r="A1" s="7" t="inlineStr">
        <is>
          <t>KiDiBOM - Assembly BOM</t>
        </is>
      </c>
    </row>
    <row r="2">
      <c r="A2" s="8" t="inlineStr">
        <is>
          <t>No. boards:</t>
        </is>
      </c>
      <c r="B2" t="n">
        <v>5</v>
      </c>
    </row>
    <row r="3">
      <c r="A3" s="8" t="inlineStr">
        <is>
          <t>Total assembly cost:</t>
        </is>
      </c>
      <c r="B3" s="9">
        <f>N17</f>
        <v/>
      </c>
    </row>
    <row r="5">
      <c r="A5" s="8" t="inlineStr">
        <is>
          <t>Reference</t>
        </is>
      </c>
      <c r="B5" s="8" t="inlineStr">
        <is>
          <t>Value</t>
        </is>
      </c>
      <c r="C5" s="8" t="inlineStr">
        <is>
          <t>Description</t>
        </is>
      </c>
      <c r="D5" s="8" t="inlineStr">
        <is>
          <t>DNP</t>
        </is>
      </c>
      <c r="E5" s="8" t="inlineStr">
        <is>
          <t>Qty</t>
        </is>
      </c>
      <c r="F5" s="8" t="inlineStr">
        <is>
          <t>Datasheet</t>
        </is>
      </c>
      <c r="G5" s="8" t="inlineStr">
        <is>
          <t>Manufacturer</t>
        </is>
      </c>
      <c r="H5" s="8" t="inlineStr">
        <is>
          <t>MPN</t>
        </is>
      </c>
      <c r="I5" s="8" t="inlineStr">
        <is>
          <t>DigiKey PN</t>
        </is>
      </c>
      <c r="J5" s="8" t="inlineStr">
        <is>
          <t>Order Qty</t>
        </is>
      </c>
      <c r="K5" s="8" t="inlineStr">
        <is>
          <t>Unit Cost</t>
        </is>
      </c>
      <c r="L5" s="8" t="inlineStr">
        <is>
          <t>Stock</t>
        </is>
      </c>
      <c r="M5" s="8" t="inlineStr">
        <is>
          <t>Status</t>
        </is>
      </c>
      <c r="N5" s="8" t="inlineStr">
        <is>
          <t>Qty x Cost</t>
        </is>
      </c>
      <c r="O5" s="8" t="inlineStr">
        <is>
          <t>Purchase URL</t>
        </is>
      </c>
    </row>
    <row r="6">
      <c r="A6" t="inlineStr">
        <is>
          <t>A1</t>
        </is>
      </c>
      <c r="B6" t="inlineStr">
        <is>
          <t>Arduino_UNO_R3</t>
        </is>
      </c>
      <c r="C6" t="inlineStr">
        <is>
          <t>Arduino UNO Microcontroller Module, release 3</t>
        </is>
      </c>
      <c r="D6" t="inlineStr"/>
      <c r="E6" t="n">
        <v>1</v>
      </c>
      <c r="F6" t="inlineStr">
        <is>
          <t>https://www.arduino.cc/en/Main/arduinoBoardUno</t>
        </is>
      </c>
      <c r="G6" t="inlineStr"/>
      <c r="H6" t="inlineStr"/>
      <c r="I6" t="inlineStr"/>
      <c r="J6">
        <f>E6*$B$2</f>
        <v/>
      </c>
      <c r="K6" s="9" t="n"/>
      <c r="N6" s="9">
        <f>IF(K6="","",J6*K6)</f>
        <v/>
      </c>
    </row>
    <row r="7">
      <c r="A7" t="inlineStr">
        <is>
          <t>D1</t>
        </is>
      </c>
      <c r="B7" t="inlineStr">
        <is>
          <t>PTVS7V5Z1USK</t>
        </is>
      </c>
      <c r="C7" t="inlineStr">
        <is>
          <t>7.5V, 2200W TVS unidirectional diode, DSN1608-2</t>
        </is>
      </c>
      <c r="D7" t="inlineStr"/>
      <c r="E7" t="n">
        <v>1</v>
      </c>
      <c r="F7" t="inlineStr">
        <is>
          <t>https://assets.nexperia.com/documents/data-sheet/PTVS7V5Z1USK.pdf</t>
        </is>
      </c>
      <c r="G7" t="inlineStr">
        <is>
          <t>NXP Semiconductors</t>
        </is>
      </c>
      <c r="H7" t="inlineStr">
        <is>
          <t>PTVS7V5Z1USK315</t>
        </is>
      </c>
      <c r="I7" t="inlineStr">
        <is>
          <t>2156-PTVS7V5Z1USK315-954-ND</t>
        </is>
      </c>
      <c r="J7">
        <f>E7*$B$2</f>
        <v/>
      </c>
      <c r="K7" s="9" t="n"/>
      <c r="N7" s="9">
        <f>IF(K7="","",J7*K7)</f>
        <v/>
      </c>
      <c r="O7" s="10" t="inlineStr">
        <is>
          <t>View on DigiKey</t>
        </is>
      </c>
    </row>
    <row r="8">
      <c r="A8" t="inlineStr">
        <is>
          <t>J1</t>
        </is>
      </c>
      <c r="B8" t="inlineStr">
        <is>
          <t>Conn_01x02</t>
        </is>
      </c>
      <c r="C8" t="inlineStr">
        <is>
          <t>Generic connector, single row, 01x02, script generated (kicad-library-utils/schlib/autogen/connector/)</t>
        </is>
      </c>
      <c r="D8" t="inlineStr"/>
      <c r="E8" t="n">
        <v>1</v>
      </c>
      <c r="F8" t="inlineStr">
        <is>
          <t>~</t>
        </is>
      </c>
      <c r="G8" t="inlineStr"/>
      <c r="H8" t="inlineStr"/>
      <c r="I8" t="inlineStr"/>
      <c r="J8">
        <f>E8*$B$2</f>
        <v/>
      </c>
      <c r="K8" s="9" t="n"/>
      <c r="N8" s="9">
        <f>IF(K8="","",J8*K8)</f>
        <v/>
      </c>
    </row>
    <row r="9">
      <c r="A9" t="inlineStr">
        <is>
          <t>J?</t>
        </is>
      </c>
      <c r="B9" t="inlineStr">
        <is>
          <t>Conn_01x02</t>
        </is>
      </c>
      <c r="C9" t="inlineStr">
        <is>
          <t>Generic connector, single row, 01x02, script generated (kicad-library-utils/schlib/autogen/connector/)</t>
        </is>
      </c>
      <c r="D9" t="inlineStr"/>
      <c r="E9" t="n">
        <v>1</v>
      </c>
      <c r="F9" t="inlineStr">
        <is>
          <t>~</t>
        </is>
      </c>
      <c r="G9" t="inlineStr"/>
      <c r="H9" t="inlineStr"/>
      <c r="I9" t="inlineStr"/>
      <c r="J9">
        <f>E9*$B$2</f>
        <v/>
      </c>
      <c r="K9" s="9" t="n"/>
      <c r="N9" s="9">
        <f>IF(K9="","",J9*K9)</f>
        <v/>
      </c>
    </row>
    <row r="10">
      <c r="A10" t="inlineStr">
        <is>
          <t>J?</t>
        </is>
      </c>
      <c r="B10" t="inlineStr">
        <is>
          <t>Screw_Terminal_01x08</t>
        </is>
      </c>
      <c r="C10" t="inlineStr">
        <is>
          <t>Generic screw terminal, single row, 01x08, script generated (kicad-library-utils/schlib/autogen/connector/)</t>
        </is>
      </c>
      <c r="D10" t="inlineStr"/>
      <c r="E10" t="n">
        <v>1</v>
      </c>
      <c r="F10" t="inlineStr">
        <is>
          <t>~</t>
        </is>
      </c>
      <c r="G10" t="inlineStr"/>
      <c r="H10" t="inlineStr"/>
      <c r="I10" t="inlineStr"/>
      <c r="J10">
        <f>E10*$B$2</f>
        <v/>
      </c>
      <c r="K10" s="9" t="n"/>
      <c r="N10" s="9">
        <f>IF(K10="","",J10*K10)</f>
        <v/>
      </c>
    </row>
    <row r="11">
      <c r="A11" t="inlineStr">
        <is>
          <t>PS2</t>
        </is>
      </c>
      <c r="B11" t="inlineStr">
        <is>
          <t>TMF05112</t>
        </is>
      </c>
      <c r="C11" t="inlineStr">
        <is>
          <t>5W AC/DC medical power supply, 12V fixed output voltage, 417mA output, 4.0kVAC isolation</t>
        </is>
      </c>
      <c r="D11" t="inlineStr"/>
      <c r="E11" t="n">
        <v>1</v>
      </c>
      <c r="F11" t="inlineStr">
        <is>
          <t>https://www.tracopower.com/products/tmf05.pdf</t>
        </is>
      </c>
      <c r="G11" t="inlineStr"/>
      <c r="H11" t="inlineStr"/>
      <c r="I11" t="inlineStr"/>
      <c r="J11">
        <f>E11*$B$2</f>
        <v/>
      </c>
      <c r="K11" s="9" t="n"/>
      <c r="N11" s="9">
        <f>IF(K11="","",J11*K11)</f>
        <v/>
      </c>
    </row>
    <row r="12">
      <c r="A12" t="inlineStr">
        <is>
          <t>Q1</t>
        </is>
      </c>
      <c r="B12" t="inlineStr">
        <is>
          <t>BT139-600</t>
        </is>
      </c>
      <c r="C12" t="inlineStr">
        <is>
          <t>16A RMS, 600V Off-State Voltage, 4Q Triac, TO-220</t>
        </is>
      </c>
      <c r="D12" t="inlineStr"/>
      <c r="E12" t="n">
        <v>1</v>
      </c>
      <c r="F12" t="inlineStr">
        <is>
          <t>https://www.rapidonline.com/pdf/47-3240.pdf</t>
        </is>
      </c>
      <c r="G12" t="inlineStr"/>
      <c r="H12" t="inlineStr"/>
      <c r="I12" t="inlineStr"/>
      <c r="J12">
        <f>E12*$B$2</f>
        <v/>
      </c>
      <c r="K12" s="9" t="n"/>
      <c r="N12" s="9">
        <f>IF(K12="","",J12*K12)</f>
        <v/>
      </c>
    </row>
    <row r="13">
      <c r="A13" t="inlineStr">
        <is>
          <t>Q2</t>
        </is>
      </c>
      <c r="B13" t="inlineStr">
        <is>
          <t>Q_PMOS_DGS</t>
        </is>
      </c>
      <c r="C13" t="inlineStr">
        <is>
          <t>P-MOSFET transistor, drain/gate/source</t>
        </is>
      </c>
      <c r="D13" t="inlineStr"/>
      <c r="E13" t="n">
        <v>1</v>
      </c>
      <c r="F13" t="inlineStr">
        <is>
          <t>~</t>
        </is>
      </c>
      <c r="G13" t="inlineStr"/>
      <c r="H13" t="inlineStr"/>
      <c r="I13" t="inlineStr"/>
      <c r="J13">
        <f>E13*$B$2</f>
        <v/>
      </c>
      <c r="K13" s="9" t="n"/>
      <c r="N13" s="9">
        <f>IF(K13="","",J13*K13)</f>
        <v/>
      </c>
    </row>
    <row r="14">
      <c r="A14" t="inlineStr">
        <is>
          <t>R?</t>
        </is>
      </c>
      <c r="B14" t="inlineStr">
        <is>
          <t>470</t>
        </is>
      </c>
      <c r="C14" t="inlineStr">
        <is>
          <t>Resistor</t>
        </is>
      </c>
      <c r="D14" t="inlineStr"/>
      <c r="E14" t="n">
        <v>1</v>
      </c>
      <c r="F14" t="inlineStr">
        <is>
          <t>~</t>
        </is>
      </c>
      <c r="G14" t="inlineStr"/>
      <c r="H14" t="inlineStr"/>
      <c r="I14" t="inlineStr"/>
      <c r="J14">
        <f>E14*$B$2</f>
        <v/>
      </c>
      <c r="K14" s="9" t="n"/>
      <c r="N14" s="9">
        <f>IF(K14="","",J14*K14)</f>
        <v/>
      </c>
    </row>
    <row r="15">
      <c r="A15" t="inlineStr">
        <is>
          <t>R?</t>
        </is>
      </c>
      <c r="B15" t="inlineStr">
        <is>
          <t>470</t>
        </is>
      </c>
      <c r="C15" t="inlineStr">
        <is>
          <t>Resistor</t>
        </is>
      </c>
      <c r="D15" t="inlineStr"/>
      <c r="E15" t="n">
        <v>1</v>
      </c>
      <c r="F15" t="inlineStr">
        <is>
          <t>~</t>
        </is>
      </c>
      <c r="G15" t="inlineStr"/>
      <c r="H15" t="inlineStr"/>
      <c r="I15" t="inlineStr"/>
      <c r="J15">
        <f>E15*$B$2</f>
        <v/>
      </c>
      <c r="K15" s="9" t="n"/>
      <c r="N15" s="9">
        <f>IF(K15="","",J15*K15)</f>
        <v/>
      </c>
    </row>
    <row r="16">
      <c r="A16" t="inlineStr">
        <is>
          <t>U1</t>
        </is>
      </c>
      <c r="B16" t="inlineStr">
        <is>
          <t>MOC3041M</t>
        </is>
      </c>
      <c r="C16" t="inlineStr">
        <is>
          <t>Zero Cross Opto-Triac, Vdrm 400V, Ift 15mA, DIP6</t>
        </is>
      </c>
      <c r="D16" t="inlineStr"/>
      <c r="E16" t="n">
        <v>1</v>
      </c>
      <c r="F16" t="inlineStr">
        <is>
          <t>https://www.onsemi.com/pub/Collateral/MOC3043M-D.pdf</t>
        </is>
      </c>
      <c r="G16" t="inlineStr"/>
      <c r="H16" t="inlineStr"/>
      <c r="I16" t="inlineStr"/>
      <c r="J16">
        <f>E16*$B$2</f>
        <v/>
      </c>
      <c r="K16" s="9" t="n"/>
      <c r="N16" s="9">
        <f>IF(K16="","",J16*K16)</f>
        <v/>
      </c>
    </row>
    <row r="17">
      <c r="A17" s="8" t="inlineStr">
        <is>
          <t>Total</t>
        </is>
      </c>
      <c r="K17" s="9" t="n"/>
      <c r="N17" s="11">
        <f>SUM(N6:N16)</f>
        <v/>
      </c>
    </row>
  </sheetData>
  <hyperlinks>
    <hyperlink xmlns:r="http://schemas.openxmlformats.org/officeDocument/2006/relationships" ref="O7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E1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E10" activeCellId="0" sqref="E10"/>
    </sheetView>
  </sheetViews>
  <sheetFormatPr baseColWidth="8" defaultColWidth="8.6796875" defaultRowHeight="15" customHeight="0" zeroHeight="0" outlineLevelRow="0"/>
  <cols>
    <col width="22" customWidth="1" style="12" min="1" max="4"/>
    <col width="53.19" customWidth="1" style="12" min="5" max="5"/>
  </cols>
  <sheetData>
    <row r="1" ht="17.35" customHeight="1" s="6">
      <c r="A1" s="13" t="inlineStr">
        <is>
          <t>General BOM</t>
        </is>
      </c>
    </row>
    <row r="3" ht="15" customHeight="1" s="6">
      <c r="A3" s="14" t="inlineStr">
        <is>
          <t>Item</t>
        </is>
      </c>
      <c r="B3" s="14" t="inlineStr">
        <is>
          <t>Qty</t>
        </is>
      </c>
      <c r="C3" s="14" t="inlineStr">
        <is>
          <t>Unit Cost</t>
        </is>
      </c>
      <c r="D3" s="14" t="inlineStr">
        <is>
          <t>Line Total</t>
        </is>
      </c>
      <c r="E3" s="14" t="inlineStr">
        <is>
          <t>Notes</t>
        </is>
      </c>
    </row>
    <row r="4" ht="15" customHeight="1" s="6">
      <c r="A4" s="12" t="inlineStr">
        <is>
          <t>PCB Assembly (see 'Assembly BOM' sheet)</t>
        </is>
      </c>
      <c r="B4" s="12">
        <f>'Assembly BOM'!B2</f>
        <v/>
      </c>
      <c r="C4" s="15" t="n"/>
      <c r="D4" s="15">
        <f>'Assembly BOM'!B3</f>
        <v/>
      </c>
      <c r="E4" s="12" t="inlineStr">
        <is>
          <t>Auto-synced from Assembly BOM -- edit costs there, not here</t>
        </is>
      </c>
    </row>
    <row r="5" ht="15" customHeight="1" s="6">
      <c r="A5" s="12" t="inlineStr">
        <is>
          <t>Test</t>
        </is>
      </c>
      <c r="C5" s="15" t="n"/>
      <c r="D5" s="15" t="n"/>
    </row>
    <row r="6" ht="15" customHeight="1" s="6">
      <c r="A6" s="12" t="inlineStr">
        <is>
          <t>Test 2</t>
        </is>
      </c>
      <c r="B6" s="12" t="n">
        <v>1</v>
      </c>
      <c r="C6" s="15" t="n">
        <v>30</v>
      </c>
      <c r="D6" s="15" t="n"/>
    </row>
    <row r="7" ht="15" customHeight="1" s="6">
      <c r="C7" s="15" t="n"/>
      <c r="D7" s="15" t="n"/>
    </row>
    <row r="8" ht="15" customHeight="1" s="6">
      <c r="C8" s="15" t="n"/>
      <c r="D8" s="15" t="n"/>
    </row>
    <row r="9" ht="15" customHeight="1" s="6">
      <c r="C9" s="15" t="n"/>
      <c r="D9" s="15" t="n"/>
    </row>
    <row r="10" ht="15" customHeight="1" s="6">
      <c r="C10" s="15" t="n"/>
      <c r="D10" s="15" t="n"/>
    </row>
    <row r="11" ht="15" customHeight="1" s="6">
      <c r="C11" s="15" t="n"/>
      <c r="D11" s="15" t="n"/>
    </row>
    <row r="12" ht="15" customHeight="1" s="6">
      <c r="C12" s="15" t="n"/>
      <c r="D12" s="15" t="n"/>
    </row>
    <row r="13" ht="15" customHeight="1" s="6">
      <c r="C13" s="15" t="n"/>
      <c r="D13" s="15" t="n"/>
    </row>
    <row r="14" ht="15" customHeight="1" s="6">
      <c r="C14" s="15" t="n"/>
      <c r="D14" s="15" t="n"/>
    </row>
    <row r="15" ht="15" customHeight="1" s="6">
      <c r="A15" s="14" t="inlineStr">
        <is>
          <t>Grand Total</t>
        </is>
      </c>
      <c r="D15" s="16">
        <f>SUBTOTAL(109,D4:D14)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2026-08-22T17:43:55Z</dcterms:created>
  <dcterms:modified xsi:type="dcterms:W3CDTF">2026-08-22T17:49:35Z</dcterms:modified>
  <cp:revision>2</cp:revision>
</cp:coreProperties>
</file>